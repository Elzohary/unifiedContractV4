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15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895735AC-C9F9-4F77-9A3C-5CA9D31D04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 (2)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8" i="2" l="1"/>
  <c r="H13" i="2"/>
  <c r="H14" i="2" s="1"/>
  <c r="H9" i="2"/>
  <c r="H10" i="2" s="1"/>
  <c r="H11" i="2" s="1"/>
  <c r="H7" i="2"/>
  <c r="H8" i="2" s="1"/>
  <c r="H12" i="2" l="1"/>
  <c r="H15" i="2" s="1"/>
  <c r="H19" i="2"/>
  <c r="H20" i="2" s="1"/>
  <c r="H21" i="2" l="1"/>
  <c r="H22" i="2"/>
  <c r="H23" i="2" s="1"/>
</calcChain>
</file>

<file path=xl/sharedStrings.xml><?xml version="1.0" encoding="utf-8"?>
<sst xmlns="http://schemas.openxmlformats.org/spreadsheetml/2006/main" count="120" uniqueCount="88">
  <si>
    <r>
      <rPr>
        <b/>
        <sz val="8.5"/>
        <rFont val="Arial"/>
        <family val="2"/>
      </rPr>
      <t>OHPL Recovery Schedule (as of 15- Jul- 25)</t>
    </r>
  </si>
  <si>
    <r>
      <rPr>
        <sz val="7.5"/>
        <rFont val="Arial"/>
        <family val="2"/>
      </rPr>
      <t>Auguring (complete scope)</t>
    </r>
  </si>
  <si>
    <r>
      <rPr>
        <sz val="7.5"/>
        <rFont val="Arial"/>
        <family val="2"/>
      </rPr>
      <t>E</t>
    </r>
  </si>
  <si>
    <r>
      <rPr>
        <sz val="7.5"/>
        <rFont val="Arial"/>
        <family val="2"/>
      </rPr>
      <t>Concrete Pouring 1st Stage ( Excavated)</t>
    </r>
  </si>
  <si>
    <r>
      <rPr>
        <sz val="7.5"/>
        <rFont val="Arial"/>
        <family val="2"/>
      </rPr>
      <t>Installation of pole bottom segment</t>
    </r>
  </si>
  <si>
    <r>
      <rPr>
        <sz val="7.5"/>
        <rFont val="Arial"/>
        <family val="2"/>
      </rPr>
      <t>Concrete Pouring 2nd Stage</t>
    </r>
  </si>
  <si>
    <r>
      <rPr>
        <sz val="7.5"/>
        <rFont val="Arial"/>
        <family val="2"/>
      </rPr>
      <t>Installation of pole top segment</t>
    </r>
  </si>
  <si>
    <r>
      <rPr>
        <sz val="7.5"/>
        <rFont val="Arial"/>
        <family val="2"/>
      </rPr>
      <t>Concrete Pouring 1st Stage ( Aramco Permit )</t>
    </r>
  </si>
  <si>
    <r>
      <rPr>
        <sz val="7.5"/>
        <rFont val="Arial"/>
        <family val="2"/>
      </rPr>
      <t>Installation of pole bottom segment ( Aramco Permit )</t>
    </r>
  </si>
  <si>
    <r>
      <rPr>
        <sz val="7.5"/>
        <rFont val="Arial"/>
        <family val="2"/>
      </rPr>
      <t>Concrete Pouring 2nd Stage ( Aramco Permit )</t>
    </r>
  </si>
  <si>
    <r>
      <rPr>
        <sz val="7.5"/>
        <rFont val="Arial"/>
        <family val="2"/>
      </rPr>
      <t>Installation of pole top segment ( Aramco Permit )</t>
    </r>
  </si>
  <si>
    <r>
      <rPr>
        <sz val="7.5"/>
        <rFont val="Arial"/>
        <family val="2"/>
      </rPr>
      <t>Guy Anchor Excavation</t>
    </r>
  </si>
  <si>
    <r>
      <rPr>
        <sz val="7.5"/>
        <rFont val="Arial"/>
        <family val="2"/>
      </rPr>
      <t>Guy Anchor Pouring (installation)</t>
    </r>
  </si>
  <si>
    <r>
      <rPr>
        <sz val="7.5"/>
        <rFont val="Arial"/>
        <family val="2"/>
      </rPr>
      <t>m</t>
    </r>
  </si>
  <si>
    <r>
      <rPr>
        <sz val="7.5"/>
        <rFont val="Arial"/>
        <family val="2"/>
      </rPr>
      <t>HDD Crossing ( Railway )</t>
    </r>
  </si>
  <si>
    <r>
      <rPr>
        <sz val="7.5"/>
        <rFont val="Arial"/>
        <family val="2"/>
      </rPr>
      <t>HDD Crossing ( Highway ) Permits</t>
    </r>
  </si>
  <si>
    <r>
      <rPr>
        <sz val="7.5"/>
        <rFont val="Arial"/>
        <family val="2"/>
      </rPr>
      <t>HDD Crossing ( Highway )</t>
    </r>
  </si>
  <si>
    <r>
      <rPr>
        <sz val="7.5"/>
        <rFont val="Arial"/>
        <family val="2"/>
      </rPr>
      <t>Underground Crossings excavation</t>
    </r>
  </si>
  <si>
    <r>
      <rPr>
        <sz val="7.5"/>
        <rFont val="Arial"/>
        <family val="2"/>
      </rPr>
      <t>Underground Crossings Cable laying</t>
    </r>
  </si>
  <si>
    <r>
      <rPr>
        <sz val="7.5"/>
        <rFont val="Arial"/>
        <family val="2"/>
      </rPr>
      <t>Pre-commissioning and commissioning activities</t>
    </r>
  </si>
  <si>
    <r>
      <rPr>
        <sz val="7.5"/>
        <rFont val="Arial"/>
        <family val="2"/>
      </rPr>
      <t>LOT</t>
    </r>
  </si>
  <si>
    <r>
      <rPr>
        <sz val="7.5"/>
        <rFont val="Arial"/>
        <family val="2"/>
      </rPr>
      <t>Punch Items Clearance</t>
    </r>
  </si>
  <si>
    <t>Sr.</t>
  </si>
  <si>
    <t>Activity</t>
  </si>
  <si>
    <t>Unit</t>
  </si>
  <si>
    <t>Total</t>
  </si>
  <si>
    <t>Actual</t>
  </si>
  <si>
    <t>remaining</t>
  </si>
  <si>
    <t>SUC Response</t>
  </si>
  <si>
    <t>ENPPI's Proposal</t>
  </si>
  <si>
    <t>Premises</t>
  </si>
  <si>
    <t>Delivery of Last batch of steel poles at site on 20 July 25</t>
  </si>
  <si>
    <t>ENPPI</t>
  </si>
  <si>
    <t xml:space="preserve">SUC </t>
  </si>
  <si>
    <t>Response</t>
  </si>
  <si>
    <t>Mobilization will be after confirmation of MOT original scope will be covered in SAR HDD activities, 21 July 2025. HDD KoM with SA, ENPPI and HDD Subcontractor.</t>
  </si>
  <si>
    <t>Energya still not submitted the Coating and Galvanization Report, Delivery will be July 30, 2025</t>
  </si>
  <si>
    <t>#</t>
  </si>
  <si>
    <t>Mobilizing HDD contractor on ( permit revalidated till 30-Aug)</t>
  </si>
  <si>
    <r>
      <t xml:space="preserve">Stringing  </t>
    </r>
    <r>
      <rPr>
        <sz val="7.5"/>
        <color rgb="FFC00000"/>
        <rFont val="Arial"/>
        <family val="2"/>
      </rPr>
      <t>- Accessories Installation and Stringing</t>
    </r>
  </si>
  <si>
    <t>Optimization Scope</t>
  </si>
  <si>
    <t>LOT</t>
  </si>
  <si>
    <t>-</t>
  </si>
  <si>
    <t>Consider external permit receive on time in 6 days a week and MOT permit received on time (15 September 2025).</t>
  </si>
  <si>
    <r>
      <t xml:space="preserve">VO to be finalized to procure the materials on time </t>
    </r>
    <r>
      <rPr>
        <b/>
        <sz val="10"/>
        <color rgb="FF000000"/>
        <rFont val="Times New Roman"/>
        <family val="1"/>
      </rPr>
      <t>(Maximum before 24 July 2025)</t>
    </r>
    <r>
      <rPr>
        <sz val="10"/>
        <color rgb="FF000000"/>
        <rFont val="Times New Roman"/>
        <family val="1"/>
      </rPr>
      <t>.</t>
    </r>
  </si>
  <si>
    <t>Remarks</t>
  </si>
  <si>
    <t>Consider external permit receive on time in 6 days a week</t>
  </si>
  <si>
    <t>Delivery will be July 30, 2025</t>
  </si>
  <si>
    <t>VO to be finalized to procure the materials on time (Maximum before 24 July 2025) and delivery of cable on December 15, 2025.</t>
  </si>
  <si>
    <t>13 July 25</t>
  </si>
  <si>
    <t>20 July 25</t>
  </si>
  <si>
    <t>27 July 25</t>
  </si>
  <si>
    <t>3 Aug 25</t>
  </si>
  <si>
    <t>10 Aug 25</t>
  </si>
  <si>
    <t>17 Aug 25</t>
  </si>
  <si>
    <t>24 Aug 25</t>
  </si>
  <si>
    <t>31 Aug 25</t>
  </si>
  <si>
    <t>7 Sep 25</t>
  </si>
  <si>
    <t>21 Sep 25</t>
  </si>
  <si>
    <t>14 Sep 25</t>
  </si>
  <si>
    <t>28 Sep 25</t>
  </si>
  <si>
    <t>05 Oct 25</t>
  </si>
  <si>
    <t>12 Oct 25</t>
  </si>
  <si>
    <t>19 Oct 25</t>
  </si>
  <si>
    <t>26 Oct 25</t>
  </si>
  <si>
    <t>02 Nov 25</t>
  </si>
  <si>
    <t>09 Nov 25</t>
  </si>
  <si>
    <t>16 Nov 25</t>
  </si>
  <si>
    <t>23 Nov 25</t>
  </si>
  <si>
    <t>30 Nov 25</t>
  </si>
  <si>
    <t>07 Dec 25</t>
  </si>
  <si>
    <t>14 Dec 25</t>
  </si>
  <si>
    <t>21 Dec 25</t>
  </si>
  <si>
    <t>28 Dec 25</t>
  </si>
  <si>
    <t>04 Jan 25</t>
  </si>
  <si>
    <t>11 Jan 25</t>
  </si>
  <si>
    <t>18 Jan 25</t>
  </si>
  <si>
    <t>25 Jan 25</t>
  </si>
  <si>
    <t>01 Feb 25</t>
  </si>
  <si>
    <t>08 Feb 25</t>
  </si>
  <si>
    <t>15 Feb 25</t>
  </si>
  <si>
    <t>22 Feb 25</t>
  </si>
  <si>
    <t>1 Mar 25</t>
  </si>
  <si>
    <t>8 Mar 25</t>
  </si>
  <si>
    <t>15 Mar 25</t>
  </si>
  <si>
    <t>22 Mar 25</t>
  </si>
  <si>
    <t>29 Mar 25</t>
  </si>
  <si>
    <t>05 Apr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</si>
</sst>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9" x14ac:knownFonts="1">
    <font>
      <sz val="10"/>
      <color rgb="FF000000"/>
      <name val="Times New Roman"/>
      <charset val="204"/>
    </font>
    <font>
      <b/>
      <sz val="8.5"/>
      <name val="Arial"/>
    </font>
    <font>
      <sz val="7"/>
      <color rgb="FF000000"/>
      <name val="Arial"/>
      <family val="2"/>
    </font>
    <font>
      <sz val="7.5"/>
      <name val="Arial"/>
    </font>
    <font>
      <sz val="7.5"/>
      <color rgb="FF000000"/>
      <name val="Arial"/>
      <family val="2"/>
    </font>
    <font>
      <b/>
      <sz val="8.5"/>
      <name val="Arial"/>
      <family val="2"/>
    </font>
    <font>
      <b/>
      <sz val="7"/>
      <name val="Arial"/>
      <family val="2"/>
    </font>
    <font>
      <b/>
      <sz val="7.5"/>
      <name val="Arial"/>
      <family val="2"/>
    </font>
    <font>
      <sz val="7.5"/>
      <name val="Arial"/>
      <family val="2"/>
    </font>
    <font>
      <sz val="7.5"/>
      <name val="Times New Roman"/>
      <family val="2"/>
    </font>
    <font>
      <sz val="10"/>
      <name val="Times New Roman"/>
      <family val="1"/>
    </font>
    <font>
      <sz val="7.5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7.5"/>
      <color rgb="FFC00000"/>
      <name val="Arial"/>
      <family val="2"/>
    </font>
    <font>
      <sz val="7.5"/>
      <color rgb="FFC00000"/>
      <name val="Times New Roman"/>
      <family val="2"/>
    </font>
    <font>
      <sz val="7.5"/>
      <color rgb="FFC00000"/>
      <name val="Times New Roman"/>
      <family val="1"/>
    </font>
    <font>
      <sz val="7"/>
      <color rgb="FFC00000"/>
      <name val="Arial"/>
      <family val="2"/>
    </font>
    <font>
      <sz val="10"/>
      <color rgb="FFC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D9D9D9"/>
      </right>
      <top style="medium">
        <color indexed="64"/>
      </top>
      <bottom style="medium">
        <color indexed="64"/>
      </bottom>
      <diagonal/>
    </border>
    <border>
      <left style="thin">
        <color rgb="FFD9D9D9"/>
      </left>
      <right style="thin">
        <color rgb="FFD9D9D9"/>
      </right>
      <top style="medium">
        <color indexed="64"/>
      </top>
      <bottom style="medium">
        <color indexed="64"/>
      </bottom>
      <diagonal/>
    </border>
    <border>
      <left style="thin">
        <color rgb="FFD9D9D9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indexed="64"/>
      </left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indexed="64"/>
      </right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34998626667073579"/>
      </left>
      <right style="thin">
        <color indexed="64"/>
      </right>
      <top style="thin">
        <color theme="0" tint="-0.34998626667073579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theme="0" tint="-0.34998626667073579"/>
      </bottom>
      <diagonal/>
    </border>
    <border>
      <left/>
      <right/>
      <top style="thin">
        <color indexed="64"/>
      </top>
      <bottom style="medium">
        <color theme="0" tint="-0.34998626667073579"/>
      </bottom>
      <diagonal/>
    </border>
  </borders>
  <cellStyleXfs count="1">
    <xf numFmtId="0" fontId="0" fillId="0" borderId="0"/>
  </cellStyleXfs>
  <cellXfs count="7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shrinkToFit="1"/>
    </xf>
    <xf numFmtId="1" fontId="2" fillId="0" borderId="4" xfId="0" applyNumberFormat="1" applyFont="1" applyBorder="1" applyAlignment="1">
      <alignment horizontal="center" vertical="center" shrinkToFit="1"/>
    </xf>
    <xf numFmtId="0" fontId="3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horizontal="left" vertical="center" wrapText="1"/>
    </xf>
    <xf numFmtId="1" fontId="4" fillId="0" borderId="7" xfId="0" applyNumberFormat="1" applyFont="1" applyBorder="1" applyAlignment="1">
      <alignment horizontal="center" vertical="center" shrinkToFit="1"/>
    </xf>
    <xf numFmtId="1" fontId="2" fillId="0" borderId="9" xfId="0" applyNumberFormat="1" applyFont="1" applyBorder="1" applyAlignment="1">
      <alignment horizontal="center" vertical="center" shrinkToFit="1"/>
    </xf>
    <xf numFmtId="0" fontId="3" fillId="0" borderId="10" xfId="0" applyFont="1" applyBorder="1" applyAlignment="1">
      <alignment horizontal="center" vertical="center" wrapText="1"/>
    </xf>
    <xf numFmtId="1" fontId="4" fillId="0" borderId="10" xfId="0" applyNumberFormat="1" applyFont="1" applyBorder="1" applyAlignment="1">
      <alignment horizontal="center" vertical="center" shrinkToFit="1"/>
    </xf>
    <xf numFmtId="164" fontId="9" fillId="2" borderId="11" xfId="0" applyNumberFormat="1" applyFont="1" applyFill="1" applyBorder="1" applyAlignment="1">
      <alignment horizontal="center" vertical="center" shrinkToFit="1"/>
    </xf>
    <xf numFmtId="164" fontId="9" fillId="2" borderId="5" xfId="0" applyNumberFormat="1" applyFont="1" applyFill="1" applyBorder="1" applyAlignment="1">
      <alignment horizontal="center" vertical="center" shrinkToFit="1"/>
    </xf>
    <xf numFmtId="164" fontId="11" fillId="0" borderId="5" xfId="0" applyNumberFormat="1" applyFont="1" applyBorder="1" applyAlignment="1">
      <alignment horizontal="center" vertical="center" shrinkToFit="1"/>
    </xf>
    <xf numFmtId="164" fontId="9" fillId="0" borderId="5" xfId="0" applyNumberFormat="1" applyFont="1" applyBorder="1" applyAlignment="1">
      <alignment horizontal="center" vertical="center" shrinkToFit="1"/>
    </xf>
    <xf numFmtId="164" fontId="9" fillId="0" borderId="8" xfId="0" applyNumberFormat="1" applyFont="1" applyBorder="1" applyAlignment="1">
      <alignment horizontal="center" vertical="center" shrinkToFit="1"/>
    </xf>
    <xf numFmtId="0" fontId="12" fillId="0" borderId="17" xfId="0" applyFont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0" fillId="0" borderId="17" xfId="0" applyBorder="1" applyAlignment="1">
      <alignment horizontal="left" vertical="center" wrapText="1" indent="1"/>
    </xf>
    <xf numFmtId="0" fontId="12" fillId="0" borderId="17" xfId="0" applyFont="1" applyBorder="1" applyAlignment="1">
      <alignment horizontal="left" vertical="center" wrapText="1" indent="1"/>
    </xf>
    <xf numFmtId="164" fontId="15" fillId="2" borderId="5" xfId="0" applyNumberFormat="1" applyFont="1" applyFill="1" applyBorder="1" applyAlignment="1">
      <alignment horizontal="center" vertical="center" shrinkToFit="1"/>
    </xf>
    <xf numFmtId="164" fontId="16" fillId="0" borderId="5" xfId="0" applyNumberFormat="1" applyFont="1" applyBorder="1" applyAlignment="1">
      <alignment horizontal="center" vertical="center" shrinkToFit="1"/>
    </xf>
    <xf numFmtId="164" fontId="15" fillId="0" borderId="5" xfId="0" applyNumberFormat="1" applyFont="1" applyBorder="1" applyAlignment="1">
      <alignment horizontal="center" vertical="center" shrinkToFit="1"/>
    </xf>
    <xf numFmtId="1" fontId="14" fillId="0" borderId="1" xfId="0" applyNumberFormat="1" applyFont="1" applyBorder="1" applyAlignment="1">
      <alignment horizontal="center" vertical="center" shrinkToFit="1"/>
    </xf>
    <xf numFmtId="1" fontId="17" fillId="0" borderId="4" xfId="0" applyNumberFormat="1" applyFont="1" applyBorder="1" applyAlignment="1">
      <alignment horizontal="center" vertical="center" shrinkToFit="1"/>
    </xf>
    <xf numFmtId="0" fontId="14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 wrapText="1"/>
    </xf>
    <xf numFmtId="0" fontId="18" fillId="0" borderId="0" xfId="0" applyFont="1" applyAlignment="1">
      <alignment horizontal="left" vertical="top"/>
    </xf>
    <xf numFmtId="1" fontId="17" fillId="0" borderId="6" xfId="0" applyNumberFormat="1" applyFont="1" applyBorder="1" applyAlignment="1">
      <alignment horizontal="center" vertical="center" shrinkToFit="1"/>
    </xf>
    <xf numFmtId="164" fontId="15" fillId="0" borderId="8" xfId="0" applyNumberFormat="1" applyFont="1" applyBorder="1" applyAlignment="1">
      <alignment horizontal="center" vertical="center" shrinkToFit="1"/>
    </xf>
    <xf numFmtId="0" fontId="3" fillId="0" borderId="10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1"/>
    </xf>
    <xf numFmtId="0" fontId="8" fillId="0" borderId="1" xfId="0" applyFont="1" applyBorder="1" applyAlignment="1">
      <alignment horizontal="left" vertical="center" wrapText="1" indent="1"/>
    </xf>
    <xf numFmtId="0" fontId="14" fillId="0" borderId="1" xfId="0" applyFont="1" applyBorder="1" applyAlignment="1">
      <alignment horizontal="left" vertical="center" wrapText="1" indent="1"/>
    </xf>
    <xf numFmtId="0" fontId="3" fillId="0" borderId="7" xfId="0" applyFont="1" applyBorder="1" applyAlignment="1">
      <alignment horizontal="left" vertical="center" wrapText="1" indent="1"/>
    </xf>
    <xf numFmtId="0" fontId="12" fillId="0" borderId="17" xfId="0" applyFont="1" applyBorder="1" applyAlignment="1">
      <alignment horizontal="left" vertical="center" wrapText="1" indent="1"/>
    </xf>
    <xf numFmtId="0" fontId="13" fillId="3" borderId="17" xfId="0" applyFont="1" applyFill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164" fontId="16" fillId="0" borderId="5" xfId="0" applyNumberFormat="1" applyFont="1" applyBorder="1" applyAlignment="1">
      <alignment horizontal="left" vertical="center" wrapText="1" indent="1" shrinkToFit="1"/>
    </xf>
    <xf numFmtId="164" fontId="16" fillId="0" borderId="5" xfId="0" applyNumberFormat="1" applyFont="1" applyBorder="1" applyAlignment="1">
      <alignment horizontal="left" vertical="center" indent="1" shrinkToFit="1"/>
    </xf>
    <xf numFmtId="164" fontId="15" fillId="0" borderId="8" xfId="0" applyNumberFormat="1" applyFont="1" applyBorder="1" applyAlignment="1">
      <alignment horizontal="left" vertical="center" indent="1" shrinkToFit="1"/>
    </xf>
    <xf numFmtId="0" fontId="12" fillId="0" borderId="17" xfId="0" applyFont="1" applyBorder="1" applyAlignment="1">
      <alignment horizontal="left" vertical="center" indent="1"/>
    </xf>
    <xf numFmtId="0" fontId="13" fillId="3" borderId="17" xfId="0" applyFont="1" applyFill="1" applyBorder="1" applyAlignment="1">
      <alignment horizontal="left" vertical="center" indent="1"/>
    </xf>
    <xf numFmtId="0" fontId="12" fillId="0" borderId="17" xfId="0" applyFont="1" applyBorder="1" applyAlignment="1">
      <alignment horizontal="left" vertical="center" wrapText="1" indent="2"/>
    </xf>
    <xf numFmtId="0" fontId="10" fillId="0" borderId="0" xfId="0" applyFont="1" applyAlignment="1">
      <alignment horizontal="left" vertical="top" indent="1"/>
    </xf>
    <xf numFmtId="0" fontId="0" fillId="0" borderId="0" xfId="0" applyAlignment="1">
      <alignment horizontal="center" vertical="center"/>
    </xf>
    <xf numFmtId="164" fontId="16" fillId="0" borderId="19" xfId="0" applyNumberFormat="1" applyFont="1" applyBorder="1" applyAlignment="1">
      <alignment horizontal="left" vertical="center" wrapText="1" indent="1" shrinkToFit="1"/>
    </xf>
    <xf numFmtId="164" fontId="16" fillId="0" borderId="19" xfId="0" applyNumberFormat="1" applyFont="1" applyBorder="1" applyAlignment="1">
      <alignment horizontal="left" vertical="center" indent="1" shrinkToFit="1"/>
    </xf>
    <xf numFmtId="0" fontId="0" fillId="0" borderId="20" xfId="0" applyBorder="1" applyAlignment="1">
      <alignment horizontal="left" vertical="top"/>
    </xf>
    <xf numFmtId="0" fontId="0" fillId="4" borderId="21" xfId="0" applyFill="1" applyBorder="1" applyAlignment="1">
      <alignment horizontal="left" vertical="top"/>
    </xf>
    <xf numFmtId="0" fontId="0" fillId="4" borderId="22" xfId="0" applyFill="1" applyBorder="1" applyAlignment="1">
      <alignment horizontal="left" vertical="top"/>
    </xf>
    <xf numFmtId="0" fontId="0" fillId="4" borderId="21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6" fillId="5" borderId="12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left" vertical="center" wrapText="1"/>
    </xf>
    <xf numFmtId="0" fontId="7" fillId="5" borderId="13" xfId="0" applyFont="1" applyFill="1" applyBorder="1" applyAlignment="1">
      <alignment horizontal="center" vertical="center" wrapText="1"/>
    </xf>
    <xf numFmtId="0" fontId="7" fillId="5" borderId="14" xfId="0" applyFont="1" applyFill="1" applyBorder="1" applyAlignment="1">
      <alignment horizontal="center" vertical="center" wrapText="1"/>
    </xf>
    <xf numFmtId="0" fontId="7" fillId="5" borderId="18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left" vertical="center" wrapText="1" inden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16" xfId="0" applyFont="1" applyFill="1" applyBorder="1" applyAlignment="1">
      <alignment horizontal="center" vertical="center" wrapText="1"/>
    </xf>
    <xf numFmtId="0" fontId="1" fillId="6" borderId="16" xfId="0" applyFont="1" applyFill="1" applyBorder="1" applyAlignment="1">
      <alignment horizontal="left" vertical="center" wrapText="1" indent="1"/>
    </xf>
    <xf numFmtId="49" fontId="12" fillId="5" borderId="23" xfId="0" applyNumberFormat="1" applyFont="1" applyFill="1" applyBorder="1" applyAlignment="1">
      <alignment horizontal="center" vertical="center" wrapText="1"/>
    </xf>
    <xf numFmtId="49" fontId="12" fillId="5" borderId="24" xfId="0" applyNumberFormat="1" applyFont="1" applyFill="1" applyBorder="1" applyAlignment="1">
      <alignment horizontal="center" vertical="center" wrapText="1"/>
    </xf>
    <xf numFmtId="49" fontId="12" fillId="5" borderId="25" xfId="0" applyNumberFormat="1" applyFont="1" applyFill="1" applyBorder="1" applyAlignment="1">
      <alignment horizontal="center" vertical="center" wrapText="1"/>
    </xf>
    <xf numFmtId="0" fontId="0" fillId="7" borderId="26" xfId="0" applyFill="1" applyBorder="1" applyAlignment="1">
      <alignment horizontal="center" vertical="center"/>
    </xf>
    <xf numFmtId="0" fontId="0" fillId="7" borderId="27" xfId="0" applyFill="1" applyBorder="1" applyAlignment="1">
      <alignment horizontal="center" vertical="center"/>
    </xf>
    <xf numFmtId="0" fontId="0" fillId="7" borderId="28" xfId="0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57E77-5E1F-49EC-B493-2B49A622E674}">
  <dimension ref="A1:AV30"/>
  <sheetViews>
    <sheetView tabSelected="1" zoomScaleNormal="100" workbookViewId="0">
      <pane xSplit="8" ySplit="2" topLeftCell="I3" activePane="bottomRight" state="frozen"/>
      <selection pane="topRight" activeCell="I1" sqref="I1"/>
      <selection pane="bottomLeft" activeCell="A3" sqref="A3"/>
      <selection pane="bottomRight" activeCell="I3" sqref="I1:I1048576"/>
    </sheetView>
  </sheetViews>
  <sheetFormatPr defaultRowHeight="12.75" x14ac:dyDescent="0.2"/>
  <cols>
    <col min="1" max="1" width="5.33203125" customWidth="1"/>
    <col min="2" max="2" width="56.1640625" customWidth="1"/>
    <col min="3" max="3" width="5.33203125" customWidth="1"/>
    <col min="4" max="4" width="9.5" customWidth="1"/>
    <col min="5" max="5" width="8.5" customWidth="1"/>
    <col min="6" max="6" width="10.5" customWidth="1"/>
    <col min="7" max="8" width="17.1640625" customWidth="1"/>
    <col min="9" max="9" width="46.1640625" style="45" customWidth="1"/>
    <col min="10" max="10" width="4.83203125" style="46" customWidth="1"/>
    <col min="11" max="48" width="4.83203125" customWidth="1"/>
  </cols>
  <sheetData>
    <row r="1" spans="1:48" ht="52.5" customHeight="1" x14ac:dyDescent="0.2">
      <c r="A1" s="60" t="s">
        <v>0</v>
      </c>
      <c r="B1" s="61"/>
      <c r="C1" s="61"/>
      <c r="D1" s="61"/>
      <c r="E1" s="61"/>
      <c r="F1" s="61"/>
      <c r="G1" s="61"/>
      <c r="H1" s="61"/>
      <c r="I1" s="62"/>
      <c r="J1" s="66" t="s">
        <v>49</v>
      </c>
      <c r="K1" s="67" t="s">
        <v>50</v>
      </c>
      <c r="L1" s="67" t="s">
        <v>51</v>
      </c>
      <c r="M1" s="67" t="s">
        <v>52</v>
      </c>
      <c r="N1" s="67" t="s">
        <v>53</v>
      </c>
      <c r="O1" s="67" t="s">
        <v>54</v>
      </c>
      <c r="P1" s="67" t="s">
        <v>55</v>
      </c>
      <c r="Q1" s="67" t="s">
        <v>56</v>
      </c>
      <c r="R1" s="67" t="s">
        <v>57</v>
      </c>
      <c r="S1" s="67" t="s">
        <v>59</v>
      </c>
      <c r="T1" s="67" t="s">
        <v>58</v>
      </c>
      <c r="U1" s="67" t="s">
        <v>60</v>
      </c>
      <c r="V1" s="67" t="s">
        <v>61</v>
      </c>
      <c r="W1" s="67" t="s">
        <v>62</v>
      </c>
      <c r="X1" s="67" t="s">
        <v>63</v>
      </c>
      <c r="Y1" s="67" t="s">
        <v>64</v>
      </c>
      <c r="Z1" s="67" t="s">
        <v>65</v>
      </c>
      <c r="AA1" s="67" t="s">
        <v>66</v>
      </c>
      <c r="AB1" s="67" t="s">
        <v>67</v>
      </c>
      <c r="AC1" s="67" t="s">
        <v>68</v>
      </c>
      <c r="AD1" s="67" t="s">
        <v>69</v>
      </c>
      <c r="AE1" s="67" t="s">
        <v>70</v>
      </c>
      <c r="AF1" s="67" t="s">
        <v>71</v>
      </c>
      <c r="AG1" s="67" t="s">
        <v>72</v>
      </c>
      <c r="AH1" s="67" t="s">
        <v>73</v>
      </c>
      <c r="AI1" s="67" t="s">
        <v>74</v>
      </c>
      <c r="AJ1" s="67" t="s">
        <v>75</v>
      </c>
      <c r="AK1" s="67" t="s">
        <v>76</v>
      </c>
      <c r="AL1" s="67" t="s">
        <v>77</v>
      </c>
      <c r="AM1" s="67" t="s">
        <v>78</v>
      </c>
      <c r="AN1" s="67" t="s">
        <v>79</v>
      </c>
      <c r="AO1" s="67" t="s">
        <v>80</v>
      </c>
      <c r="AP1" s="67" t="s">
        <v>81</v>
      </c>
      <c r="AQ1" s="67" t="s">
        <v>82</v>
      </c>
      <c r="AR1" s="67" t="s">
        <v>83</v>
      </c>
      <c r="AS1" s="67" t="s">
        <v>84</v>
      </c>
      <c r="AT1" s="67" t="s">
        <v>85</v>
      </c>
      <c r="AU1" s="67" t="s">
        <v>86</v>
      </c>
      <c r="AV1" s="68" t="s">
        <v>87</v>
      </c>
    </row>
    <row r="2" spans="1:48" ht="20.65" customHeight="1" thickBot="1" x14ac:dyDescent="0.25">
      <c r="A2" s="63"/>
      <c r="B2" s="64"/>
      <c r="C2" s="64"/>
      <c r="D2" s="64"/>
      <c r="E2" s="64"/>
      <c r="F2" s="64"/>
      <c r="G2" s="64"/>
      <c r="H2" s="64"/>
      <c r="I2" s="65"/>
      <c r="J2" s="69">
        <v>9</v>
      </c>
      <c r="K2" s="70">
        <v>10</v>
      </c>
      <c r="L2" s="70">
        <v>11</v>
      </c>
      <c r="M2" s="70">
        <v>12</v>
      </c>
      <c r="N2" s="70">
        <v>13</v>
      </c>
      <c r="O2" s="70">
        <v>14</v>
      </c>
      <c r="P2" s="70">
        <v>15</v>
      </c>
      <c r="Q2" s="70">
        <v>16</v>
      </c>
      <c r="R2" s="70">
        <v>17</v>
      </c>
      <c r="S2" s="70">
        <v>18</v>
      </c>
      <c r="T2" s="70">
        <v>19</v>
      </c>
      <c r="U2" s="70">
        <v>20</v>
      </c>
      <c r="V2" s="70">
        <v>21</v>
      </c>
      <c r="W2" s="70">
        <v>22</v>
      </c>
      <c r="X2" s="70">
        <v>23</v>
      </c>
      <c r="Y2" s="70">
        <v>24</v>
      </c>
      <c r="Z2" s="70">
        <v>25</v>
      </c>
      <c r="AA2" s="70">
        <v>26</v>
      </c>
      <c r="AB2" s="70">
        <v>27</v>
      </c>
      <c r="AC2" s="70">
        <v>28</v>
      </c>
      <c r="AD2" s="70">
        <v>29</v>
      </c>
      <c r="AE2" s="70">
        <v>30</v>
      </c>
      <c r="AF2" s="70">
        <v>31</v>
      </c>
      <c r="AG2" s="70">
        <v>32</v>
      </c>
      <c r="AH2" s="70">
        <v>33</v>
      </c>
      <c r="AI2" s="70">
        <v>34</v>
      </c>
      <c r="AJ2" s="70">
        <v>35</v>
      </c>
      <c r="AK2" s="70">
        <v>36</v>
      </c>
      <c r="AL2" s="70">
        <v>37</v>
      </c>
      <c r="AM2" s="70">
        <v>38</v>
      </c>
      <c r="AN2" s="70">
        <v>39</v>
      </c>
      <c r="AO2" s="70">
        <v>40</v>
      </c>
      <c r="AP2" s="70">
        <v>41</v>
      </c>
      <c r="AQ2" s="70">
        <v>42</v>
      </c>
      <c r="AR2" s="70">
        <v>43</v>
      </c>
      <c r="AS2" s="70">
        <v>44</v>
      </c>
      <c r="AT2" s="70">
        <v>45</v>
      </c>
      <c r="AU2" s="70">
        <v>46</v>
      </c>
      <c r="AV2" s="71">
        <v>47</v>
      </c>
    </row>
    <row r="3" spans="1:48" ht="15.75" customHeight="1" thickBot="1" x14ac:dyDescent="0.25">
      <c r="A3" s="55" t="s">
        <v>22</v>
      </c>
      <c r="B3" s="56" t="s">
        <v>23</v>
      </c>
      <c r="C3" s="57" t="s">
        <v>24</v>
      </c>
      <c r="D3" s="57" t="s">
        <v>25</v>
      </c>
      <c r="E3" s="57" t="s">
        <v>26</v>
      </c>
      <c r="F3" s="57" t="s">
        <v>27</v>
      </c>
      <c r="G3" s="58" t="s">
        <v>29</v>
      </c>
      <c r="H3" s="58" t="s">
        <v>28</v>
      </c>
      <c r="I3" s="59" t="s">
        <v>45</v>
      </c>
      <c r="J3" s="72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73"/>
      <c r="AN3" s="73"/>
      <c r="AO3" s="73"/>
      <c r="AP3" s="73"/>
      <c r="AQ3" s="73"/>
      <c r="AR3" s="73"/>
      <c r="AS3" s="73"/>
      <c r="AT3" s="73"/>
      <c r="AU3" s="73"/>
      <c r="AV3" s="73"/>
    </row>
    <row r="4" spans="1:48" ht="19.5" customHeight="1" thickBot="1" x14ac:dyDescent="0.25">
      <c r="A4" s="8">
        <v>1</v>
      </c>
      <c r="B4" s="31" t="s">
        <v>1</v>
      </c>
      <c r="C4" s="9" t="s">
        <v>2</v>
      </c>
      <c r="D4" s="10">
        <v>172</v>
      </c>
      <c r="E4" s="10">
        <v>125</v>
      </c>
      <c r="F4" s="10">
        <v>47</v>
      </c>
      <c r="G4" s="11">
        <v>45887</v>
      </c>
      <c r="H4" s="22">
        <v>45900</v>
      </c>
      <c r="I4" s="47" t="s">
        <v>46</v>
      </c>
      <c r="J4" s="50"/>
      <c r="K4" s="50"/>
      <c r="L4" s="50"/>
      <c r="M4" s="50"/>
      <c r="N4" s="50"/>
      <c r="O4" s="50"/>
      <c r="P4" s="50"/>
      <c r="Q4" s="51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</row>
    <row r="5" spans="1:48" ht="19.5" customHeight="1" thickBot="1" x14ac:dyDescent="0.25">
      <c r="A5" s="4">
        <v>2</v>
      </c>
      <c r="B5" s="32" t="s">
        <v>3</v>
      </c>
      <c r="C5" s="2" t="s">
        <v>2</v>
      </c>
      <c r="D5" s="3">
        <v>128</v>
      </c>
      <c r="E5" s="3">
        <v>115</v>
      </c>
      <c r="F5" s="3">
        <v>13</v>
      </c>
      <c r="G5" s="12">
        <v>45874</v>
      </c>
      <c r="H5" s="22">
        <v>45884</v>
      </c>
      <c r="I5" s="48"/>
      <c r="J5" s="54"/>
      <c r="K5" s="50"/>
      <c r="L5" s="50"/>
      <c r="M5" s="50"/>
      <c r="N5" s="50"/>
      <c r="O5" s="51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</row>
    <row r="6" spans="1:48" ht="19.5" customHeight="1" thickBot="1" x14ac:dyDescent="0.25">
      <c r="A6" s="4">
        <v>3</v>
      </c>
      <c r="B6" s="32" t="s">
        <v>4</v>
      </c>
      <c r="C6" s="2" t="s">
        <v>2</v>
      </c>
      <c r="D6" s="3">
        <v>128</v>
      </c>
      <c r="E6" s="3">
        <v>68</v>
      </c>
      <c r="F6" s="3">
        <v>60</v>
      </c>
      <c r="G6" s="13">
        <v>45874</v>
      </c>
      <c r="H6" s="22">
        <v>45900</v>
      </c>
      <c r="I6" s="40" t="s">
        <v>47</v>
      </c>
      <c r="J6" s="52"/>
      <c r="K6" s="52"/>
      <c r="L6" s="52"/>
      <c r="M6" s="52"/>
      <c r="N6" s="52"/>
      <c r="O6" s="52"/>
      <c r="P6" s="52"/>
      <c r="Q6" s="53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</row>
    <row r="7" spans="1:48" ht="19.5" customHeight="1" thickBot="1" x14ac:dyDescent="0.25">
      <c r="A7" s="4">
        <v>4</v>
      </c>
      <c r="B7" s="32" t="s">
        <v>5</v>
      </c>
      <c r="C7" s="2" t="s">
        <v>2</v>
      </c>
      <c r="D7" s="3">
        <v>128</v>
      </c>
      <c r="E7" s="3">
        <v>59</v>
      </c>
      <c r="F7" s="3">
        <v>69</v>
      </c>
      <c r="G7" s="13">
        <v>45897</v>
      </c>
      <c r="H7" s="22">
        <f>H6+25</f>
        <v>45925</v>
      </c>
      <c r="I7" s="40" t="s">
        <v>47</v>
      </c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3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</row>
    <row r="8" spans="1:48" ht="19.5" customHeight="1" thickBot="1" x14ac:dyDescent="0.25">
      <c r="A8" s="4">
        <v>5</v>
      </c>
      <c r="B8" s="32" t="s">
        <v>6</v>
      </c>
      <c r="C8" s="2" t="s">
        <v>2</v>
      </c>
      <c r="D8" s="3">
        <v>128</v>
      </c>
      <c r="E8" s="3">
        <v>0</v>
      </c>
      <c r="F8" s="1"/>
      <c r="G8" s="14">
        <v>45928</v>
      </c>
      <c r="H8" s="22">
        <f>H7+20</f>
        <v>45945</v>
      </c>
      <c r="I8" s="40" t="s">
        <v>47</v>
      </c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3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</row>
    <row r="9" spans="1:48" ht="19.5" customHeight="1" thickBot="1" x14ac:dyDescent="0.25">
      <c r="A9" s="4">
        <v>6</v>
      </c>
      <c r="B9" s="32" t="s">
        <v>7</v>
      </c>
      <c r="C9" s="2" t="s">
        <v>2</v>
      </c>
      <c r="D9" s="3">
        <v>44</v>
      </c>
      <c r="E9" s="3">
        <v>0</v>
      </c>
      <c r="F9" s="1"/>
      <c r="G9" s="14">
        <v>45894</v>
      </c>
      <c r="H9" s="22">
        <f>H4+30</f>
        <v>45930</v>
      </c>
      <c r="I9" s="39" t="s">
        <v>46</v>
      </c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3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</row>
    <row r="10" spans="1:48" ht="19.5" customHeight="1" thickBot="1" x14ac:dyDescent="0.25">
      <c r="A10" s="4">
        <v>7</v>
      </c>
      <c r="B10" s="32" t="s">
        <v>8</v>
      </c>
      <c r="C10" s="2" t="s">
        <v>2</v>
      </c>
      <c r="D10" s="3">
        <v>44</v>
      </c>
      <c r="E10" s="3">
        <v>0</v>
      </c>
      <c r="F10" s="1"/>
      <c r="G10" s="14">
        <v>45906</v>
      </c>
      <c r="H10" s="22">
        <f>H9+25</f>
        <v>45955</v>
      </c>
      <c r="I10" s="39" t="s">
        <v>46</v>
      </c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3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</row>
    <row r="11" spans="1:48" ht="19.5" customHeight="1" thickBot="1" x14ac:dyDescent="0.25">
      <c r="A11" s="4">
        <v>8</v>
      </c>
      <c r="B11" s="32" t="s">
        <v>9</v>
      </c>
      <c r="C11" s="2" t="s">
        <v>2</v>
      </c>
      <c r="D11" s="3">
        <v>44</v>
      </c>
      <c r="E11" s="3">
        <v>0</v>
      </c>
      <c r="F11" s="1"/>
      <c r="G11" s="14">
        <v>45920</v>
      </c>
      <c r="H11" s="22">
        <f>H10+12</f>
        <v>45967</v>
      </c>
      <c r="I11" s="39" t="s">
        <v>46</v>
      </c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3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</row>
    <row r="12" spans="1:48" ht="19.5" customHeight="1" thickBot="1" x14ac:dyDescent="0.25">
      <c r="A12" s="4">
        <v>9</v>
      </c>
      <c r="B12" s="32" t="s">
        <v>10</v>
      </c>
      <c r="C12" s="2" t="s">
        <v>2</v>
      </c>
      <c r="D12" s="3">
        <v>44</v>
      </c>
      <c r="E12" s="3">
        <v>0</v>
      </c>
      <c r="F12" s="1"/>
      <c r="G12" s="14">
        <v>45925</v>
      </c>
      <c r="H12" s="22">
        <f>H11+15</f>
        <v>45982</v>
      </c>
      <c r="I12" s="39" t="s">
        <v>46</v>
      </c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3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</row>
    <row r="13" spans="1:48" ht="19.5" customHeight="1" thickBot="1" x14ac:dyDescent="0.25">
      <c r="A13" s="4">
        <v>10</v>
      </c>
      <c r="B13" s="32" t="s">
        <v>11</v>
      </c>
      <c r="C13" s="2" t="s">
        <v>2</v>
      </c>
      <c r="D13" s="3">
        <v>84</v>
      </c>
      <c r="E13" s="3">
        <v>31</v>
      </c>
      <c r="F13" s="3">
        <v>53</v>
      </c>
      <c r="G13" s="14">
        <v>45884</v>
      </c>
      <c r="H13" s="22">
        <f>H4+25</f>
        <v>45925</v>
      </c>
      <c r="I13" s="39" t="s">
        <v>46</v>
      </c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3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</row>
    <row r="14" spans="1:48" ht="19.5" customHeight="1" thickBot="1" x14ac:dyDescent="0.25">
      <c r="A14" s="4">
        <v>11</v>
      </c>
      <c r="B14" s="32" t="s">
        <v>12</v>
      </c>
      <c r="C14" s="2" t="s">
        <v>2</v>
      </c>
      <c r="D14" s="3">
        <v>84</v>
      </c>
      <c r="E14" s="1"/>
      <c r="F14" s="1"/>
      <c r="G14" s="14">
        <v>45901</v>
      </c>
      <c r="H14" s="22">
        <f>H13+30</f>
        <v>45955</v>
      </c>
      <c r="I14" s="39" t="s">
        <v>46</v>
      </c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3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</row>
    <row r="15" spans="1:48" ht="19.5" customHeight="1" thickBot="1" x14ac:dyDescent="0.25">
      <c r="A15" s="4">
        <v>12</v>
      </c>
      <c r="B15" s="33" t="s">
        <v>39</v>
      </c>
      <c r="C15" s="2" t="s">
        <v>13</v>
      </c>
      <c r="D15" s="2">
        <v>11326</v>
      </c>
      <c r="E15" s="3">
        <v>0</v>
      </c>
      <c r="F15" s="1"/>
      <c r="G15" s="14">
        <v>45951</v>
      </c>
      <c r="H15" s="22">
        <f>H12+60</f>
        <v>46042</v>
      </c>
      <c r="I15" s="39" t="s">
        <v>46</v>
      </c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3"/>
      <c r="AM15" s="49"/>
      <c r="AN15" s="49"/>
      <c r="AO15" s="49"/>
      <c r="AP15" s="49"/>
      <c r="AQ15" s="49"/>
      <c r="AR15" s="49"/>
      <c r="AS15" s="49"/>
      <c r="AT15" s="49"/>
      <c r="AU15" s="49"/>
      <c r="AV15" s="49"/>
    </row>
    <row r="16" spans="1:48" ht="19.5" customHeight="1" thickBot="1" x14ac:dyDescent="0.25">
      <c r="A16" s="4">
        <v>13</v>
      </c>
      <c r="B16" s="32" t="s">
        <v>14</v>
      </c>
      <c r="C16" s="2" t="s">
        <v>2</v>
      </c>
      <c r="D16" s="3">
        <v>1</v>
      </c>
      <c r="E16" s="3">
        <v>0</v>
      </c>
      <c r="F16" s="1"/>
      <c r="G16" s="12">
        <v>45883</v>
      </c>
      <c r="H16" s="21">
        <v>45894</v>
      </c>
      <c r="I16" s="39" t="s">
        <v>46</v>
      </c>
      <c r="J16" s="52"/>
      <c r="K16" s="52"/>
      <c r="L16" s="52"/>
      <c r="M16" s="52"/>
      <c r="N16" s="52"/>
      <c r="O16" s="52"/>
      <c r="P16" s="52"/>
      <c r="Q16" s="53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</row>
    <row r="17" spans="1:48" ht="19.5" customHeight="1" thickBot="1" x14ac:dyDescent="0.25">
      <c r="A17" s="4">
        <v>14</v>
      </c>
      <c r="B17" s="32" t="s">
        <v>15</v>
      </c>
      <c r="C17" s="2" t="s">
        <v>2</v>
      </c>
      <c r="D17" s="3">
        <v>1</v>
      </c>
      <c r="E17" s="3">
        <v>0</v>
      </c>
      <c r="F17" s="1"/>
      <c r="G17" s="12">
        <v>45898</v>
      </c>
      <c r="H17" s="21">
        <v>45915</v>
      </c>
      <c r="I17" s="39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3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</row>
    <row r="18" spans="1:48" ht="24.75" customHeight="1" thickBot="1" x14ac:dyDescent="0.25">
      <c r="A18" s="4">
        <v>15</v>
      </c>
      <c r="B18" s="32" t="s">
        <v>16</v>
      </c>
      <c r="C18" s="2" t="s">
        <v>2</v>
      </c>
      <c r="D18" s="3">
        <v>1</v>
      </c>
      <c r="E18" s="3">
        <v>0</v>
      </c>
      <c r="F18" s="1"/>
      <c r="G18" s="14">
        <v>45909</v>
      </c>
      <c r="H18" s="23">
        <f>H17+45</f>
        <v>45960</v>
      </c>
      <c r="I18" s="39" t="s">
        <v>43</v>
      </c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3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</row>
    <row r="19" spans="1:48" ht="34.5" customHeight="1" thickBot="1" x14ac:dyDescent="0.25">
      <c r="A19" s="4">
        <v>16</v>
      </c>
      <c r="B19" s="32" t="s">
        <v>17</v>
      </c>
      <c r="C19" s="2" t="s">
        <v>2</v>
      </c>
      <c r="D19" s="24">
        <v>14</v>
      </c>
      <c r="E19" s="3">
        <v>0</v>
      </c>
      <c r="F19" s="1"/>
      <c r="G19" s="14">
        <v>45921</v>
      </c>
      <c r="H19" s="23">
        <f>H11+70</f>
        <v>46037</v>
      </c>
      <c r="I19" s="39" t="s">
        <v>48</v>
      </c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3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</row>
    <row r="20" spans="1:48" ht="33.75" customHeight="1" thickBot="1" x14ac:dyDescent="0.25">
      <c r="A20" s="4">
        <v>17</v>
      </c>
      <c r="B20" s="32" t="s">
        <v>18</v>
      </c>
      <c r="C20" s="2" t="s">
        <v>2</v>
      </c>
      <c r="D20" s="24">
        <v>14</v>
      </c>
      <c r="E20" s="3">
        <v>0</v>
      </c>
      <c r="F20" s="1"/>
      <c r="G20" s="14">
        <v>45944</v>
      </c>
      <c r="H20" s="23">
        <f>H19+30</f>
        <v>46067</v>
      </c>
      <c r="I20" s="39" t="s">
        <v>48</v>
      </c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3"/>
      <c r="AP20" s="49"/>
      <c r="AQ20" s="49"/>
      <c r="AR20" s="49"/>
      <c r="AS20" s="49"/>
      <c r="AT20" s="49"/>
      <c r="AU20" s="49"/>
      <c r="AV20" s="49"/>
    </row>
    <row r="21" spans="1:48" s="28" customFormat="1" ht="33.75" customHeight="1" thickBot="1" x14ac:dyDescent="0.25">
      <c r="A21" s="25">
        <v>18</v>
      </c>
      <c r="B21" s="34" t="s">
        <v>40</v>
      </c>
      <c r="C21" s="26" t="s">
        <v>41</v>
      </c>
      <c r="D21" s="24">
        <v>1</v>
      </c>
      <c r="E21" s="24">
        <v>0</v>
      </c>
      <c r="F21" s="27"/>
      <c r="G21" s="23" t="s">
        <v>42</v>
      </c>
      <c r="H21" s="23">
        <f>H15+45</f>
        <v>46087</v>
      </c>
      <c r="I21" s="39" t="s">
        <v>48</v>
      </c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3"/>
      <c r="AS21" s="49"/>
      <c r="AT21" s="49"/>
      <c r="AU21" s="49"/>
      <c r="AV21" s="49"/>
    </row>
    <row r="22" spans="1:48" ht="33.75" customHeight="1" thickBot="1" x14ac:dyDescent="0.25">
      <c r="A22" s="25">
        <v>19</v>
      </c>
      <c r="B22" s="32" t="s">
        <v>19</v>
      </c>
      <c r="C22" s="2" t="s">
        <v>20</v>
      </c>
      <c r="D22" s="1"/>
      <c r="E22" s="3">
        <v>0</v>
      </c>
      <c r="F22" s="1"/>
      <c r="G22" s="14">
        <v>45981</v>
      </c>
      <c r="H22" s="23">
        <f>H15+50</f>
        <v>46092</v>
      </c>
      <c r="I22" s="39" t="s">
        <v>48</v>
      </c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2"/>
      <c r="AS22" s="53"/>
      <c r="AT22" s="49"/>
      <c r="AU22" s="49"/>
      <c r="AV22" s="49"/>
    </row>
    <row r="23" spans="1:48" ht="19.5" customHeight="1" thickBot="1" x14ac:dyDescent="0.25">
      <c r="A23" s="29">
        <v>20</v>
      </c>
      <c r="B23" s="35" t="s">
        <v>21</v>
      </c>
      <c r="C23" s="5" t="s">
        <v>20</v>
      </c>
      <c r="D23" s="6"/>
      <c r="E23" s="7">
        <v>0</v>
      </c>
      <c r="F23" s="6"/>
      <c r="G23" s="15">
        <v>45992</v>
      </c>
      <c r="H23" s="30">
        <f>H22+20</f>
        <v>46112</v>
      </c>
      <c r="I23" s="41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53"/>
    </row>
    <row r="25" spans="1:48" x14ac:dyDescent="0.2">
      <c r="B25" s="16" t="s">
        <v>32</v>
      </c>
      <c r="C25" s="38" t="s">
        <v>33</v>
      </c>
      <c r="D25" s="38"/>
      <c r="E25" s="38"/>
      <c r="F25" s="38"/>
      <c r="G25" s="38"/>
      <c r="H25" s="38"/>
      <c r="I25" s="42"/>
    </row>
    <row r="26" spans="1:48" x14ac:dyDescent="0.2">
      <c r="A26" s="17" t="s">
        <v>37</v>
      </c>
      <c r="B26" s="17" t="s">
        <v>30</v>
      </c>
      <c r="C26" s="37" t="s">
        <v>34</v>
      </c>
      <c r="D26" s="37"/>
      <c r="E26" s="37"/>
      <c r="F26" s="37"/>
      <c r="G26" s="37"/>
      <c r="H26" s="37"/>
      <c r="I26" s="43"/>
    </row>
    <row r="27" spans="1:48" s="18" customFormat="1" ht="32.25" customHeight="1" x14ac:dyDescent="0.2">
      <c r="A27" s="4">
        <v>1</v>
      </c>
      <c r="B27" s="19" t="s">
        <v>31</v>
      </c>
      <c r="C27" s="36" t="s">
        <v>36</v>
      </c>
      <c r="D27" s="36"/>
      <c r="E27" s="36"/>
      <c r="F27" s="36"/>
      <c r="G27" s="36"/>
      <c r="H27" s="36"/>
      <c r="I27" s="44"/>
      <c r="J27" s="46"/>
    </row>
    <row r="28" spans="1:48" s="18" customFormat="1" ht="45.75" customHeight="1" x14ac:dyDescent="0.2">
      <c r="A28" s="4">
        <v>2</v>
      </c>
      <c r="B28" s="20" t="s">
        <v>38</v>
      </c>
      <c r="C28" s="36" t="s">
        <v>35</v>
      </c>
      <c r="D28" s="36"/>
      <c r="E28" s="36"/>
      <c r="F28" s="36"/>
      <c r="G28" s="36"/>
      <c r="H28" s="36"/>
      <c r="I28" s="44"/>
      <c r="J28" s="46"/>
    </row>
    <row r="29" spans="1:48" ht="30.75" customHeight="1" x14ac:dyDescent="0.2">
      <c r="A29" s="4">
        <v>3</v>
      </c>
      <c r="B29" s="20" t="s">
        <v>42</v>
      </c>
      <c r="C29" s="36" t="s">
        <v>43</v>
      </c>
      <c r="D29" s="36"/>
      <c r="E29" s="36"/>
      <c r="F29" s="36"/>
      <c r="G29" s="36"/>
      <c r="H29" s="36"/>
      <c r="I29" s="44"/>
    </row>
    <row r="30" spans="1:48" ht="30" customHeight="1" x14ac:dyDescent="0.2">
      <c r="A30" s="4">
        <v>4</v>
      </c>
      <c r="B30" s="20" t="s">
        <v>42</v>
      </c>
      <c r="C30" s="36" t="s">
        <v>44</v>
      </c>
      <c r="D30" s="36"/>
      <c r="E30" s="36"/>
      <c r="F30" s="36"/>
      <c r="G30" s="36"/>
      <c r="H30" s="36"/>
      <c r="I30" s="44"/>
    </row>
  </sheetData>
  <mergeCells count="26">
    <mergeCell ref="C29:I29"/>
    <mergeCell ref="C30:I30"/>
    <mergeCell ref="J22:AS22"/>
    <mergeCell ref="J23:AV23"/>
    <mergeCell ref="C25:I25"/>
    <mergeCell ref="C26:I26"/>
    <mergeCell ref="C27:I27"/>
    <mergeCell ref="C28:I28"/>
    <mergeCell ref="J16:Q16"/>
    <mergeCell ref="J17:T17"/>
    <mergeCell ref="J18:Z18"/>
    <mergeCell ref="J19:AK19"/>
    <mergeCell ref="J20:AO20"/>
    <mergeCell ref="J21:AR21"/>
    <mergeCell ref="J10:Y10"/>
    <mergeCell ref="J11:AA11"/>
    <mergeCell ref="J12:AC12"/>
    <mergeCell ref="J13:U13"/>
    <mergeCell ref="J14:Y14"/>
    <mergeCell ref="J15:AL15"/>
    <mergeCell ref="A1:I2"/>
    <mergeCell ref="J3:AV3"/>
    <mergeCell ref="J6:Q6"/>
    <mergeCell ref="J7:U7"/>
    <mergeCell ref="J8:X8"/>
    <mergeCell ref="J9:V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Project Planner Template</dc:title>
  <dc:creator>Vertex42.com</dc:creator>
  <cp:lastModifiedBy>planning</cp:lastModifiedBy>
  <dcterms:created xsi:type="dcterms:W3CDTF">2025-07-19T05:19:33Z</dcterms:created>
  <dcterms:modified xsi:type="dcterms:W3CDTF">2025-07-19T09:01:37Z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2025-07-16T00:00:00Z</vt:filetime>
  </property>
  <property fmtid="{D5CDD505-2E9C-101B-9397-08002B2CF9AE}" pid="3" name="Creator">
    <vt:lpwstr>Microsoft® Excel® for Microsoft 365</vt:lpwstr>
  </property>
  <property fmtid="{D5CDD505-2E9C-101B-9397-08002B2CF9AE}" pid="4" name="LastSaved">
    <vt:filetime>2025-07-19T00:00:00Z</vt:filetime>
  </property>
  <property fmtid="{D5CDD505-2E9C-101B-9397-08002B2CF9AE}" pid="5" name="Producer">
    <vt:lpwstr>3-Heights(TM) PDF Security Shell 4.8.25.2 (http://www.pdf-tools.com)</vt:lpwstr>
  </property>
</Properties>
</file>